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E:\Fathih\New folder\Analytics\Projects\Football Performance Analysis Dashboard (Excel)\"/>
    </mc:Choice>
  </mc:AlternateContent>
  <xr:revisionPtr revIDLastSave="0" documentId="13_ncr:1_{0E69547E-FF7A-4C97-B3EE-A4FDC5B06D04}" xr6:coauthVersionLast="47" xr6:coauthVersionMax="47" xr10:uidLastSave="{00000000-0000-0000-0000-000000000000}"/>
  <bookViews>
    <workbookView xWindow="-108" yWindow="-108" windowWidth="23256" windowHeight="12456" xr2:uid="{5A87FEFF-B2A6-4DDD-A8E0-DC2331BAF23C}"/>
  </bookViews>
  <sheets>
    <sheet name="Dashboard" sheetId="7" r:id="rId1"/>
    <sheet name="Main Dataset" sheetId="1" r:id="rId2"/>
  </sheets>
  <definedNames>
    <definedName name="_xlnm._FilterDatabase" localSheetId="1" hidden="1">'Main Dataset'!$B$1:$L$1</definedName>
    <definedName name="Slicer_Position">#N/A</definedName>
    <definedName name="Slicer_Team">#N/A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 l="1"/>
  <c r="K27" i="1"/>
  <c r="B25" i="1"/>
  <c r="K23" i="1"/>
  <c r="F23" i="1"/>
  <c r="F35" i="1"/>
  <c r="F34" i="1"/>
  <c r="F33" i="1"/>
  <c r="F32" i="1"/>
  <c r="F31" i="1"/>
  <c r="F30" i="1"/>
  <c r="F29" i="1"/>
  <c r="F28" i="1"/>
  <c r="M3" i="1"/>
  <c r="M4" i="1"/>
  <c r="M5" i="1"/>
  <c r="M6" i="1"/>
  <c r="M7" i="1"/>
  <c r="M8" i="1"/>
  <c r="M9" i="1"/>
  <c r="M10" i="1"/>
  <c r="M11" i="1"/>
  <c r="M12" i="1"/>
  <c r="M13" i="1"/>
  <c r="M14" i="1"/>
  <c r="M15" i="1"/>
  <c r="M16" i="1"/>
  <c r="M17" i="1"/>
  <c r="M18" i="1"/>
  <c r="M19" i="1"/>
  <c r="M20" i="1"/>
  <c r="M21" i="1"/>
  <c r="M2" i="1"/>
  <c r="L2" i="1"/>
  <c r="F26" i="1"/>
  <c r="L3" i="1"/>
  <c r="L4" i="1"/>
  <c r="L5" i="1"/>
  <c r="L6" i="1"/>
  <c r="L7" i="1"/>
  <c r="L8" i="1"/>
  <c r="L9" i="1"/>
  <c r="L10" i="1"/>
  <c r="L11" i="1"/>
  <c r="L12" i="1"/>
  <c r="L13" i="1"/>
  <c r="L14" i="1"/>
  <c r="L15" i="1"/>
  <c r="L16" i="1"/>
  <c r="L17" i="1"/>
  <c r="L18" i="1"/>
  <c r="L19" i="1"/>
  <c r="L20" i="1"/>
  <c r="L21" i="1"/>
  <c r="K3" i="1"/>
  <c r="K2" i="1"/>
  <c r="K4" i="1"/>
  <c r="K5" i="1"/>
  <c r="K6" i="1"/>
  <c r="K7" i="1"/>
  <c r="K8" i="1"/>
  <c r="K9" i="1"/>
  <c r="K10" i="1"/>
  <c r="K11" i="1"/>
  <c r="K12" i="1"/>
  <c r="K13" i="1"/>
  <c r="K14" i="1"/>
  <c r="K15" i="1"/>
  <c r="K16" i="1"/>
  <c r="K17" i="1"/>
  <c r="K18" i="1"/>
  <c r="K19" i="1"/>
  <c r="K20" i="1"/>
  <c r="K21" i="1"/>
  <c r="F25" i="1"/>
  <c r="I24" i="1"/>
  <c r="G24" i="1"/>
  <c r="F24" i="1"/>
  <c r="G23" i="1"/>
  <c r="H23" i="1"/>
  <c r="I23" i="1"/>
  <c r="E23" i="1"/>
</calcChain>
</file>

<file path=xl/sharedStrings.xml><?xml version="1.0" encoding="utf-8"?>
<sst xmlns="http://schemas.openxmlformats.org/spreadsheetml/2006/main" count="120" uniqueCount="92">
  <si>
    <t>Player ID</t>
  </si>
  <si>
    <t>Player Name</t>
  </si>
  <si>
    <t>Position</t>
  </si>
  <si>
    <t>Team</t>
  </si>
  <si>
    <t>Matches</t>
  </si>
  <si>
    <t>Goals</t>
  </si>
  <si>
    <t>Assists</t>
  </si>
  <si>
    <t>Yellow Cards</t>
  </si>
  <si>
    <t>Market Value (€M)</t>
  </si>
  <si>
    <t>P001</t>
  </si>
  <si>
    <t>Lionel Messi</t>
  </si>
  <si>
    <t>Forward</t>
  </si>
  <si>
    <t>Miami FC</t>
  </si>
  <si>
    <t>P002</t>
  </si>
  <si>
    <t>Cristiano Ronaldo</t>
  </si>
  <si>
    <t>Al Nassr</t>
  </si>
  <si>
    <t>P003</t>
  </si>
  <si>
    <t>Kylian Mbappe</t>
  </si>
  <si>
    <t>Real Madrid</t>
  </si>
  <si>
    <t>P004</t>
  </si>
  <si>
    <t>Erling Haaland</t>
  </si>
  <si>
    <t>Manchester City</t>
  </si>
  <si>
    <t>P005</t>
  </si>
  <si>
    <t>Kevin De Bruyne</t>
  </si>
  <si>
    <t>Midfielder</t>
  </si>
  <si>
    <t>P006</t>
  </si>
  <si>
    <t>Jude Bellingham</t>
  </si>
  <si>
    <t>P007</t>
  </si>
  <si>
    <t>Mohamed Salah</t>
  </si>
  <si>
    <t>Liverpool</t>
  </si>
  <si>
    <t>P008</t>
  </si>
  <si>
    <t>Bruno Fernandes</t>
  </si>
  <si>
    <t>Manchester United</t>
  </si>
  <si>
    <t>P009</t>
  </si>
  <si>
    <t>Virgil van Dijk</t>
  </si>
  <si>
    <t>Defender</t>
  </si>
  <si>
    <t>P010</t>
  </si>
  <si>
    <t>Rodri</t>
  </si>
  <si>
    <t>P011</t>
  </si>
  <si>
    <t>Harry Kane</t>
  </si>
  <si>
    <t>Bayern Munich</t>
  </si>
  <si>
    <t>P012</t>
  </si>
  <si>
    <t>Jamal Musiala</t>
  </si>
  <si>
    <t>P013</t>
  </si>
  <si>
    <t>Bukayo Saka</t>
  </si>
  <si>
    <t>Arsenal</t>
  </si>
  <si>
    <t>P014</t>
  </si>
  <si>
    <t>Martin Odegaard</t>
  </si>
  <si>
    <t>P015</t>
  </si>
  <si>
    <t>Vinicius Jr</t>
  </si>
  <si>
    <t>P016</t>
  </si>
  <si>
    <t>Pedri</t>
  </si>
  <si>
    <t>Barcelona</t>
  </si>
  <si>
    <t>P017</t>
  </si>
  <si>
    <t>Robert Lewandowski</t>
  </si>
  <si>
    <t>P018</t>
  </si>
  <si>
    <t>Declan Rice</t>
  </si>
  <si>
    <t>P019</t>
  </si>
  <si>
    <t>Lautaro Martinez</t>
  </si>
  <si>
    <t>Inter Milan</t>
  </si>
  <si>
    <t>P020</t>
  </si>
  <si>
    <t>Federico Dimarco</t>
  </si>
  <si>
    <t>Total</t>
  </si>
  <si>
    <t>Average</t>
  </si>
  <si>
    <t>Goal Contribution</t>
  </si>
  <si>
    <t>Goals Per Match</t>
  </si>
  <si>
    <t>Highest Scorer</t>
  </si>
  <si>
    <t>Lowest Scorer</t>
  </si>
  <si>
    <t>Performance</t>
  </si>
  <si>
    <t>Goals Scored by FWD:</t>
  </si>
  <si>
    <t>Goals Scored by MID</t>
  </si>
  <si>
    <t>Goals scored by RMA</t>
  </si>
  <si>
    <t>Goals scored by RMA FWD</t>
  </si>
  <si>
    <t>No. of FWD</t>
  </si>
  <si>
    <t>Players more than 10 goals</t>
  </si>
  <si>
    <t>No.of MID</t>
  </si>
  <si>
    <t>Total Goals</t>
  </si>
  <si>
    <t>Total Assists</t>
  </si>
  <si>
    <t>Total Goal Contribution</t>
  </si>
  <si>
    <t>Number of Players</t>
  </si>
  <si>
    <t>Top Scorer</t>
  </si>
  <si>
    <t>Highest Goal Contribution</t>
  </si>
  <si>
    <t>Erling Halaand</t>
  </si>
  <si>
    <t>Highest Goals Contribution</t>
  </si>
  <si>
    <t>Football Performance Dashboard</t>
  </si>
  <si>
    <t>Top 3 Teams G/A</t>
  </si>
  <si>
    <t>Data Source: Football Player Dataset</t>
  </si>
  <si>
    <t>Created using Excel Pivot Tables, Charts and Slicers</t>
  </si>
  <si>
    <r>
      <rPr>
        <b/>
        <sz val="14"/>
        <color theme="1"/>
        <rFont val="Baskerville Old Face"/>
        <family val="1"/>
      </rPr>
      <t>Real Madrid</t>
    </r>
    <r>
      <rPr>
        <b/>
        <sz val="14"/>
        <color theme="1"/>
        <rFont val="Aptos Narrow"/>
        <family val="2"/>
        <scheme val="minor"/>
      </rPr>
      <t xml:space="preserve"> - </t>
    </r>
    <r>
      <rPr>
        <sz val="16"/>
        <color theme="1"/>
        <rFont val="Bahnschrift SemiBold Condensed"/>
        <family val="2"/>
      </rPr>
      <t>53</t>
    </r>
  </si>
  <si>
    <r>
      <rPr>
        <b/>
        <sz val="14"/>
        <color theme="1"/>
        <rFont val="Baskerville Old Face"/>
        <family val="1"/>
      </rPr>
      <t>Man City</t>
    </r>
    <r>
      <rPr>
        <b/>
        <sz val="14"/>
        <color theme="1"/>
        <rFont val="Aptos Narrow"/>
        <family val="2"/>
        <scheme val="minor"/>
      </rPr>
      <t xml:space="preserve"> - </t>
    </r>
    <r>
      <rPr>
        <sz val="16"/>
        <color theme="1"/>
        <rFont val="Bahnschrift SemiBold Condensed"/>
        <family val="2"/>
      </rPr>
      <t>48</t>
    </r>
  </si>
  <si>
    <r>
      <rPr>
        <b/>
        <sz val="14"/>
        <color theme="1"/>
        <rFont val="Baskerville Old Face"/>
        <family val="1"/>
      </rPr>
      <t>Bayen Munich</t>
    </r>
    <r>
      <rPr>
        <b/>
        <sz val="14"/>
        <color theme="1"/>
        <rFont val="Aptos Narrow"/>
        <family val="2"/>
        <scheme val="minor"/>
      </rPr>
      <t xml:space="preserve"> - </t>
    </r>
    <r>
      <rPr>
        <sz val="16"/>
        <color theme="1"/>
        <rFont val="Bahnschrift SemiBold Condensed"/>
        <family val="2"/>
      </rPr>
      <t>39</t>
    </r>
  </si>
  <si>
    <t>Players more than 15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</si>
</sst>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color rgb="FF9C0006"/>
      <name val="Aptos Narrow"/>
      <family val="2"/>
      <scheme val="minor"/>
    </font>
    <font>
      <b/>
      <sz val="12"/>
      <color rgb="FF9C0006"/>
      <name val="Aptos Narrow"/>
      <family val="2"/>
      <scheme val="minor"/>
    </font>
    <font>
      <b/>
      <sz val="14"/>
      <color theme="1"/>
      <name val="Aptos Narrow"/>
      <family val="2"/>
      <scheme val="minor"/>
    </font>
    <font>
      <b/>
      <sz val="20"/>
      <color theme="1"/>
      <name val="Bahnschrift SemiBold Condensed"/>
      <family val="2"/>
    </font>
    <font>
      <b/>
      <sz val="16"/>
      <color theme="1"/>
      <name val="Baskerville Old Face"/>
      <family val="1"/>
    </font>
    <font>
      <b/>
      <sz val="14"/>
      <color theme="1"/>
      <name val="Baskerville Old Face"/>
      <family val="1"/>
    </font>
    <font>
      <b/>
      <sz val="14"/>
      <color theme="1"/>
      <name val="Aptos Narrow"/>
      <family val="1"/>
      <scheme val="minor"/>
    </font>
    <font>
      <u/>
      <sz val="11"/>
      <color theme="1"/>
      <name val="Aptos Narrow"/>
      <family val="2"/>
      <scheme val="minor"/>
    </font>
    <font>
      <sz val="16"/>
      <color theme="1"/>
      <name val="Bahnschrift SemiBold Condensed"/>
      <family val="2"/>
    </font>
    <font>
      <b/>
      <u/>
      <sz val="22"/>
      <color theme="1"/>
      <name val="Berlin Sans FB Demi"/>
      <family val="2"/>
    </font>
  </fonts>
  <fills count="3">
    <fill>
      <patternFill patternType="none"/>
    </fill>
    <fill>
      <patternFill patternType="gray125"/>
    </fill>
    <fill>
      <patternFill patternType="solid">
        <fgColor rgb="FFFFC7CE"/>
      </patternFill>
    </fill>
  </fills>
  <borders count="18">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diagonal/>
    </border>
    <border>
      <left/>
      <right/>
      <top/>
      <bottom style="thick">
        <color auto="1"/>
      </bottom>
      <diagonal/>
    </border>
    <border>
      <left/>
      <right/>
      <top style="thick">
        <color auto="1"/>
      </top>
      <bottom style="thick">
        <color auto="1"/>
      </bottom>
      <diagonal/>
    </border>
    <border>
      <left style="thick">
        <color auto="1"/>
      </left>
      <right/>
      <top/>
      <bottom/>
      <diagonal/>
    </border>
    <border>
      <left/>
      <right style="thick">
        <color auto="1"/>
      </right>
      <top/>
      <bottom/>
      <diagonal/>
    </border>
    <border>
      <left style="thick">
        <color auto="1"/>
      </left>
      <right/>
      <top/>
      <bottom style="thin">
        <color auto="1"/>
      </bottom>
      <diagonal/>
    </border>
    <border>
      <left/>
      <right/>
      <top/>
      <bottom style="thin">
        <color auto="1"/>
      </bottom>
      <diagonal/>
    </border>
    <border>
      <left/>
      <right style="thick">
        <color auto="1"/>
      </right>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diagonal/>
    </border>
  </borders>
  <cellStyleXfs count="2">
    <xf numFmtId="0" fontId="0" fillId="0" borderId="0"/>
    <xf numFmtId="0" fontId="2" fillId="2" borderId="0" applyNumberFormat="0" applyBorder="0" applyAlignment="0" applyProtection="0"/>
  </cellStyleXfs>
  <cellXfs count="4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2" fontId="0" fillId="0" borderId="0" xfId="0" applyNumberFormat="1"/>
    <xf numFmtId="0" fontId="1" fillId="0" borderId="0" xfId="0" applyFont="1" applyAlignment="1">
      <alignment vertical="center" wrapText="1"/>
    </xf>
    <xf numFmtId="0" fontId="9" fillId="0" borderId="0" xfId="0" applyFont="1"/>
    <xf numFmtId="0" fontId="11" fillId="0" borderId="0" xfId="0" applyFont="1" applyAlignment="1">
      <alignment horizontal="center" vertical="center"/>
    </xf>
    <xf numFmtId="0" fontId="3" fillId="2" borderId="5" xfId="1" applyFont="1" applyBorder="1" applyAlignment="1">
      <alignment horizontal="center"/>
    </xf>
    <xf numFmtId="0" fontId="3" fillId="2" borderId="9" xfId="1" applyFont="1" applyBorder="1" applyAlignment="1">
      <alignment horizontal="center"/>
    </xf>
    <xf numFmtId="0" fontId="3" fillId="2" borderId="6" xfId="1" applyFont="1" applyBorder="1" applyAlignment="1">
      <alignment horizontal="center"/>
    </xf>
    <xf numFmtId="0" fontId="8"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8"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0" xfId="0" applyFont="1" applyBorder="1" applyAlignment="1">
      <alignment horizontal="center" vertical="center"/>
    </xf>
    <xf numFmtId="0" fontId="4" fillId="0" borderId="0" xfId="0" applyFont="1" applyAlignment="1">
      <alignment horizontal="center" vertical="center"/>
    </xf>
    <xf numFmtId="0" fontId="4" fillId="0" borderId="11" xfId="0" applyFont="1" applyBorder="1" applyAlignment="1">
      <alignment horizontal="center" vertical="center"/>
    </xf>
    <xf numFmtId="0" fontId="8" fillId="0" borderId="10" xfId="0" applyFont="1" applyBorder="1" applyAlignment="1">
      <alignment horizontal="center" vertical="center"/>
    </xf>
    <xf numFmtId="0" fontId="4" fillId="0" borderId="3" xfId="0" applyFont="1" applyBorder="1" applyAlignment="1">
      <alignment horizontal="center" vertical="center"/>
    </xf>
    <xf numFmtId="0" fontId="4" fillId="0" borderId="8" xfId="0" applyFont="1" applyBorder="1" applyAlignment="1">
      <alignment horizontal="center" vertical="center"/>
    </xf>
    <xf numFmtId="0" fontId="4" fillId="0" borderId="4"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1" xfId="0" applyFont="1" applyBorder="1" applyAlignment="1">
      <alignment horizontal="center" vertical="center"/>
    </xf>
    <xf numFmtId="0" fontId="6" fillId="0" borderId="7"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8" xfId="0" applyFont="1" applyBorder="1" applyAlignment="1">
      <alignment horizontal="center" vertical="center"/>
    </xf>
    <xf numFmtId="0" fontId="6"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spc="0" baseline="0">
                <a:solidFill>
                  <a:srgbClr val="C00000"/>
                </a:solidFill>
                <a:latin typeface="Baskerville Old Face" panose="02020602080505020303" pitchFamily="18" charset="0"/>
                <a:ea typeface="+mn-ea"/>
                <a:cs typeface="+mn-cs"/>
              </a:defRPr>
            </a:pPr>
            <a:r>
              <a:rPr lang="en-US" sz="1600" b="1" u="sng">
                <a:solidFill>
                  <a:srgbClr val="C00000"/>
                </a:solidFill>
                <a:latin typeface="Baskerville Old Face" panose="02020602080505020303" pitchFamily="18" charset="0"/>
              </a:rPr>
              <a:t>Goals</a:t>
            </a:r>
            <a:r>
              <a:rPr lang="en-US" sz="1600" b="1" u="sng" baseline="0">
                <a:solidFill>
                  <a:srgbClr val="C00000"/>
                </a:solidFill>
                <a:latin typeface="Baskerville Old Face" panose="02020602080505020303" pitchFamily="18" charset="0"/>
              </a:rPr>
              <a:t> by position</a:t>
            </a:r>
            <a:endParaRPr lang="en-US" sz="1600" b="1" u="sng">
              <a:solidFill>
                <a:srgbClr val="C00000"/>
              </a:solidFill>
              <a:latin typeface="Baskerville Old Face" panose="02020602080505020303" pitchFamily="18" charset="0"/>
            </a:endParaRPr>
          </a:p>
        </c:rich>
      </c:tx>
      <c:layout>
        <c:manualLayout>
          <c:xMode val="edge"/>
          <c:yMode val="edge"/>
          <c:x val="0.30526058439697173"/>
          <c:y val="4.8170741012024662E-2"/>
        </c:manualLayout>
      </c:layout>
      <c:overlay val="0"/>
      <c:spPr>
        <a:noFill/>
        <a:ln>
          <a:noFill/>
        </a:ln>
        <a:effectLst/>
      </c:spPr>
      <c:txPr>
        <a:bodyPr rot="0" spcFirstLastPara="1" vertOverflow="ellipsis" vert="horz" wrap="square" anchor="ctr" anchorCtr="1"/>
        <a:lstStyle/>
        <a:p>
          <a:pPr>
            <a:defRPr sz="1600" b="1" i="0" u="sng" strike="noStrike" kern="1200" spc="0" baseline="0">
              <a:solidFill>
                <a:srgbClr val="C00000"/>
              </a:solidFill>
              <a:latin typeface="Baskerville Old Face" panose="020206020805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noFill/>
          </a:ln>
          <a:effectLst/>
        </c:spPr>
        <c:dLbl>
          <c:idx val="0"/>
          <c:layout>
            <c:manualLayout>
              <c:x val="2.8032889694097972E-2"/>
              <c:y val="-1.1906120430598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9050">
            <a:noFill/>
          </a:ln>
          <a:effectLst/>
        </c:spPr>
        <c:dLbl>
          <c:idx val="0"/>
          <c:layout>
            <c:manualLayout>
              <c:x val="1.7113209300164915E-2"/>
              <c:y val="-1.429939011246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noFill/>
          </a:ln>
          <a:effectLst/>
        </c:spPr>
        <c:dLbl>
          <c:idx val="0"/>
          <c:layout>
            <c:manualLayout>
              <c:x val="-1.1435323903096184E-2"/>
              <c:y val="2.081130257268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19794207140038E-2"/>
          <c:y val="0.25172156922413685"/>
          <c:w val="0.63132098808445403"/>
          <c:h val="0.6892683251550078"/>
        </c:manualLayout>
      </c:layout>
      <c:barChart>
        <c:barDir val="bar"/>
        <c:grouping val="clustered"/>
        <c:varyColors val="0"/>
        <c:ser>
          <c:idx val="0"/>
          <c:order val="0"/>
          <c:tx>
            <c:v>Total</c:v>
          </c:tx>
          <c:spPr>
            <a:solidFill>
              <a:srgbClr val="FF0000"/>
            </a:solidFill>
            <a:ln w="19050">
              <a:noFill/>
            </a:ln>
            <a:effectLst/>
          </c:spPr>
          <c:invertIfNegative val="0"/>
          <c:dPt>
            <c:idx val="0"/>
            <c:invertIfNegative val="0"/>
            <c:bubble3D val="0"/>
            <c:spPr>
              <a:solidFill>
                <a:srgbClr val="FF0000"/>
              </a:solidFill>
              <a:ln w="19050">
                <a:noFill/>
              </a:ln>
              <a:effectLst/>
            </c:spPr>
            <c:extLst>
              <c:ext xmlns:c16="http://schemas.microsoft.com/office/drawing/2014/chart" uri="{C3380CC4-5D6E-409C-BE32-E72D297353CC}">
                <c16:uniqueId val="{00000001-F93C-49B1-85A5-E8EA86EA38AD}"/>
              </c:ext>
            </c:extLst>
          </c:dPt>
          <c:dPt>
            <c:idx val="1"/>
            <c:invertIfNegative val="0"/>
            <c:bubble3D val="0"/>
            <c:spPr>
              <a:solidFill>
                <a:srgbClr val="FF0000"/>
              </a:solidFill>
              <a:ln w="19050">
                <a:noFill/>
              </a:ln>
              <a:effectLst/>
            </c:spPr>
            <c:extLst>
              <c:ext xmlns:c16="http://schemas.microsoft.com/office/drawing/2014/chart" uri="{C3380CC4-5D6E-409C-BE32-E72D297353CC}">
                <c16:uniqueId val="{00000003-F93C-49B1-85A5-E8EA86EA38AD}"/>
              </c:ext>
            </c:extLst>
          </c:dPt>
          <c:dPt>
            <c:idx val="2"/>
            <c:invertIfNegative val="0"/>
            <c:bubble3D val="0"/>
            <c:spPr>
              <a:solidFill>
                <a:srgbClr val="FF0000"/>
              </a:solidFill>
              <a:ln w="19050">
                <a:noFill/>
              </a:ln>
              <a:effectLst/>
            </c:spPr>
            <c:extLst>
              <c:ext xmlns:c16="http://schemas.microsoft.com/office/drawing/2014/chart" uri="{C3380CC4-5D6E-409C-BE32-E72D297353CC}">
                <c16:uniqueId val="{00000005-F93C-49B1-85A5-E8EA86EA38AD}"/>
              </c:ext>
            </c:extLst>
          </c:dPt>
          <c:dLbls>
            <c:dLbl>
              <c:idx val="0"/>
              <c:layout>
                <c:manualLayout>
                  <c:x val="2.8032889694097972E-2"/>
                  <c:y val="-1.1906120430598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3C-49B1-85A5-E8EA86EA38AD}"/>
                </c:ext>
              </c:extLst>
            </c:dLbl>
            <c:dLbl>
              <c:idx val="1"/>
              <c:layout>
                <c:manualLayout>
                  <c:x val="1.7113209300164915E-2"/>
                  <c:y val="-1.4299390112467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3C-49B1-85A5-E8EA86EA38AD}"/>
                </c:ext>
              </c:extLst>
            </c:dLbl>
            <c:dLbl>
              <c:idx val="2"/>
              <c:layout>
                <c:manualLayout>
                  <c:x val="-1.1435323903096184E-2"/>
                  <c:y val="2.0811302572685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3C-49B1-85A5-E8EA86EA38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Defender</c:v>
              </c:pt>
              <c:pt idx="1">
                <c:v>Forward</c:v>
              </c:pt>
              <c:pt idx="2">
                <c:v>Midfielder</c:v>
              </c:pt>
            </c:strLit>
          </c:cat>
          <c:val>
            <c:numLit>
              <c:formatCode>General</c:formatCode>
              <c:ptCount val="3"/>
              <c:pt idx="0">
                <c:v>4</c:v>
              </c:pt>
              <c:pt idx="1">
                <c:v>149</c:v>
              </c:pt>
              <c:pt idx="2">
                <c:v>46</c:v>
              </c:pt>
            </c:numLit>
          </c:val>
          <c:extLst>
            <c:ext xmlns:c16="http://schemas.microsoft.com/office/drawing/2014/chart" uri="{C3380CC4-5D6E-409C-BE32-E72D297353CC}">
              <c16:uniqueId val="{00000006-F93C-49B1-85A5-E8EA86EA38AD}"/>
            </c:ext>
          </c:extLst>
        </c:ser>
        <c:dLbls>
          <c:showLegendKey val="0"/>
          <c:showVal val="0"/>
          <c:showCatName val="0"/>
          <c:showSerName val="0"/>
          <c:showPercent val="0"/>
          <c:showBubbleSize val="0"/>
        </c:dLbls>
        <c:gapWidth val="100"/>
        <c:axId val="1549306735"/>
        <c:axId val="1352013199"/>
      </c:barChart>
      <c:valAx>
        <c:axId val="135201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06735"/>
        <c:crosses val="autoZero"/>
        <c:crossBetween val="between"/>
      </c:valAx>
      <c:catAx>
        <c:axId val="1549306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013199"/>
        <c:crosses val="autoZero"/>
        <c:auto val="1"/>
        <c:lblAlgn val="ctr"/>
        <c:lblOffset val="100"/>
        <c:noMultiLvlLbl val="0"/>
      </c:catAx>
      <c:spPr>
        <a:noFill/>
        <a:ln>
          <a:noFill/>
        </a:ln>
        <a:effectLst/>
      </c:spPr>
    </c:plotArea>
    <c:legend>
      <c:legendPos val="r"/>
      <c:layout>
        <c:manualLayout>
          <c:xMode val="edge"/>
          <c:yMode val="edge"/>
          <c:x val="0.75156057649873398"/>
          <c:y val="0.41287167002675396"/>
          <c:w val="0.19681700462220983"/>
          <c:h val="0.20682509794971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spc="0" baseline="0">
                <a:solidFill>
                  <a:schemeClr val="accent3"/>
                </a:solidFill>
                <a:latin typeface="Baskerville Old Face" panose="02020602080505020303" pitchFamily="18" charset="0"/>
                <a:ea typeface="+mn-ea"/>
                <a:cs typeface="+mn-cs"/>
              </a:defRPr>
            </a:pPr>
            <a:r>
              <a:rPr lang="en-US" sz="1600" b="1" u="sng">
                <a:solidFill>
                  <a:schemeClr val="accent3"/>
                </a:solidFill>
                <a:latin typeface="Baskerville Old Face" panose="02020602080505020303" pitchFamily="18" charset="0"/>
              </a:rPr>
              <a:t>Goals scored by team</a:t>
            </a:r>
          </a:p>
        </c:rich>
      </c:tx>
      <c:layout>
        <c:manualLayout>
          <c:xMode val="edge"/>
          <c:yMode val="edge"/>
          <c:x val="0.36605760818359251"/>
          <c:y val="7.5899603458658593E-2"/>
        </c:manualLayout>
      </c:layout>
      <c:overlay val="0"/>
      <c:spPr>
        <a:solidFill>
          <a:schemeClr val="bg1"/>
        </a:solidFill>
        <a:ln>
          <a:noFill/>
        </a:ln>
        <a:effectLst/>
      </c:spPr>
      <c:txPr>
        <a:bodyPr rot="0" spcFirstLastPara="1" vertOverflow="ellipsis" vert="horz" wrap="square" anchor="ctr" anchorCtr="1"/>
        <a:lstStyle/>
        <a:p>
          <a:pPr>
            <a:defRPr sz="1600" b="1" i="0" u="sng" strike="noStrike" kern="1200" spc="0" baseline="0">
              <a:solidFill>
                <a:schemeClr val="accent3"/>
              </a:solidFill>
              <a:latin typeface="Baskerville Old Face" panose="020206020805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30627902281449E-2"/>
          <c:y val="0.2310222585813137"/>
          <c:w val="0.83756225183390542"/>
          <c:h val="0.34685020433051933"/>
        </c:manualLayout>
      </c:layout>
      <c:barChart>
        <c:barDir val="col"/>
        <c:grouping val="clustered"/>
        <c:varyColors val="0"/>
        <c:ser>
          <c:idx val="0"/>
          <c:order val="0"/>
          <c:tx>
            <c:v>Total</c:v>
          </c:tx>
          <c:spPr>
            <a:solidFill>
              <a:srgbClr val="00B050"/>
            </a:solidFill>
            <a:ln>
              <a:noFill/>
            </a:ln>
            <a:effectLst/>
          </c:spPr>
          <c:invertIfNegative val="0"/>
          <c:cat>
            <c:strLit>
              <c:ptCount val="10"/>
              <c:pt idx="0">
                <c:v>Real Madrid</c:v>
              </c:pt>
              <c:pt idx="1">
                <c:v>Manchester City</c:v>
              </c:pt>
              <c:pt idx="2">
                <c:v>Bayern Munich</c:v>
              </c:pt>
              <c:pt idx="3">
                <c:v>Arsenal</c:v>
              </c:pt>
              <c:pt idx="4">
                <c:v>Inter Milan</c:v>
              </c:pt>
              <c:pt idx="5">
                <c:v>Al Nassr</c:v>
              </c:pt>
              <c:pt idx="6">
                <c:v>Barcelona</c:v>
              </c:pt>
              <c:pt idx="7">
                <c:v>Liverpool</c:v>
              </c:pt>
              <c:pt idx="8">
                <c:v>Miami FC</c:v>
              </c:pt>
              <c:pt idx="9">
                <c:v>Manchester United</c:v>
              </c:pt>
            </c:strLit>
          </c:cat>
          <c:val>
            <c:numLit>
              <c:formatCode>General</c:formatCode>
              <c:ptCount val="10"/>
              <c:pt idx="0">
                <c:v>34</c:v>
              </c:pt>
              <c:pt idx="1">
                <c:v>28</c:v>
              </c:pt>
              <c:pt idx="2">
                <c:v>27</c:v>
              </c:pt>
              <c:pt idx="3">
                <c:v>20</c:v>
              </c:pt>
              <c:pt idx="4">
                <c:v>18</c:v>
              </c:pt>
              <c:pt idx="5">
                <c:v>17</c:v>
              </c:pt>
              <c:pt idx="6">
                <c:v>17</c:v>
              </c:pt>
              <c:pt idx="7">
                <c:v>16</c:v>
              </c:pt>
              <c:pt idx="8">
                <c:v>15</c:v>
              </c:pt>
              <c:pt idx="9">
                <c:v>7</c:v>
              </c:pt>
            </c:numLit>
          </c:val>
          <c:extLst>
            <c:ext xmlns:c16="http://schemas.microsoft.com/office/drawing/2014/chart" uri="{C3380CC4-5D6E-409C-BE32-E72D297353CC}">
              <c16:uniqueId val="{00000000-BDEB-4863-B954-40E7ED8FBE4B}"/>
            </c:ext>
          </c:extLst>
        </c:ser>
        <c:dLbls>
          <c:showLegendKey val="0"/>
          <c:showVal val="0"/>
          <c:showCatName val="0"/>
          <c:showSerName val="0"/>
          <c:showPercent val="0"/>
          <c:showBubbleSize val="0"/>
        </c:dLbls>
        <c:gapWidth val="219"/>
        <c:overlap val="-27"/>
        <c:axId val="1501058719"/>
        <c:axId val="1635476911"/>
      </c:barChart>
      <c:catAx>
        <c:axId val="15010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6911"/>
        <c:crosses val="autoZero"/>
        <c:auto val="1"/>
        <c:lblAlgn val="ctr"/>
        <c:lblOffset val="100"/>
        <c:noMultiLvlLbl val="0"/>
      </c:catAx>
      <c:valAx>
        <c:axId val="163547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5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10</xdr:row>
      <xdr:rowOff>15240</xdr:rowOff>
    </xdr:from>
    <xdr:to>
      <xdr:col>16</xdr:col>
      <xdr:colOff>510540</xdr:colOff>
      <xdr:row>24</xdr:row>
      <xdr:rowOff>30480</xdr:rowOff>
    </xdr:to>
    <xdr:graphicFrame macro="">
      <xdr:nvGraphicFramePr>
        <xdr:cNvPr id="6" name="Chart 1">
          <a:extLst>
            <a:ext uri="{FF2B5EF4-FFF2-40B4-BE49-F238E27FC236}">
              <a16:creationId xmlns:a16="http://schemas.microsoft.com/office/drawing/2014/main" id="{6036607B-CB63-A888-10B5-8E6FAD304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xdr:colOff>
      <xdr:row>10</xdr:row>
      <xdr:rowOff>11430</xdr:rowOff>
    </xdr:from>
    <xdr:to>
      <xdr:col>10</xdr:col>
      <xdr:colOff>15240</xdr:colOff>
      <xdr:row>24</xdr:row>
      <xdr:rowOff>38100</xdr:rowOff>
    </xdr:to>
    <xdr:graphicFrame macro="">
      <xdr:nvGraphicFramePr>
        <xdr:cNvPr id="2" name="Chart 1">
          <a:extLst>
            <a:ext uri="{FF2B5EF4-FFF2-40B4-BE49-F238E27FC236}">
              <a16:creationId xmlns:a16="http://schemas.microsoft.com/office/drawing/2014/main" id="{7B16F9B8-75C6-FD30-F477-A87C04859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228600</xdr:colOff>
      <xdr:row>0</xdr:row>
      <xdr:rowOff>617221</xdr:rowOff>
    </xdr:from>
    <xdr:to>
      <xdr:col>16</xdr:col>
      <xdr:colOff>533400</xdr:colOff>
      <xdr:row>9</xdr:row>
      <xdr:rowOff>1</xdr:rowOff>
    </xdr:to>
    <mc:AlternateContent xmlns:mc="http://schemas.openxmlformats.org/markup-compatibility/2006" xmlns:a14="http://schemas.microsoft.com/office/drawing/2010/main">
      <mc:Choice Requires="a14">
        <xdr:graphicFrame macro="">
          <xdr:nvGraphicFramePr>
            <xdr:cNvPr id="3" name="Position 1">
              <a:extLst>
                <a:ext uri="{FF2B5EF4-FFF2-40B4-BE49-F238E27FC236}">
                  <a16:creationId xmlns:a16="http://schemas.microsoft.com/office/drawing/2014/main" id="{D03C60E1-3215-C247-79A7-09894CF47010}"/>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9121140" y="617221"/>
              <a:ext cx="1524000" cy="1402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1</xdr:row>
      <xdr:rowOff>7620</xdr:rowOff>
    </xdr:from>
    <xdr:to>
      <xdr:col>19</xdr:col>
      <xdr:colOff>495300</xdr:colOff>
      <xdr:row>19</xdr:row>
      <xdr:rowOff>167640</xdr:rowOff>
    </xdr:to>
    <mc:AlternateContent xmlns:mc="http://schemas.openxmlformats.org/markup-compatibility/2006" xmlns:a14="http://schemas.microsoft.com/office/drawing/2010/main">
      <mc:Choice Requires="a14">
        <xdr:graphicFrame macro="">
          <xdr:nvGraphicFramePr>
            <xdr:cNvPr id="7" name="Team 1">
              <a:extLst>
                <a:ext uri="{FF2B5EF4-FFF2-40B4-BE49-F238E27FC236}">
                  <a16:creationId xmlns:a16="http://schemas.microsoft.com/office/drawing/2014/main" id="{AFF5B4D7-CE91-C1FC-CEE0-49CE59374B73}"/>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10881360" y="632460"/>
              <a:ext cx="1706880" cy="339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Fathih" refreshedDate="46191.768991666664" createdVersion="8" refreshedVersion="8" minRefreshableVersion="3" recordCount="20" xr:uid="{0D1BA279-415B-4D74-AE3C-44419567E205}">
  <cacheSource type="worksheet">
    <worksheetSource ref="A1:I21" sheet="Main Dataset"/>
  </cacheSource>
  <cacheFields count="9">
    <cacheField name="Player ID" numFmtId="0">
      <sharedItems/>
    </cacheField>
    <cacheField name="Player Name" numFmtId="0">
      <sharedItems/>
    </cacheField>
    <cacheField name="Position" numFmtId="0">
      <sharedItems count="3">
        <s v="Forward"/>
        <s v="Midfielder"/>
        <s v="Defender"/>
      </sharedItems>
    </cacheField>
    <cacheField name="Team" numFmtId="0">
      <sharedItems count="10">
        <s v="Manchester City"/>
        <s v="Bayern Munich"/>
        <s v="Al Nassr"/>
        <s v="Real Madrid"/>
        <s v="Inter Milan"/>
        <s v="Miami FC"/>
        <s v="Liverpool"/>
        <s v="Barcelona"/>
        <s v="Arsenal"/>
        <s v="Manchester United"/>
      </sharedItems>
    </cacheField>
    <cacheField name="Matches" numFmtId="0">
      <sharedItems containsSemiMixedTypes="0" containsString="0" containsNumber="1" containsInteger="1" minValue="16" maxValue="22"/>
    </cacheField>
    <cacheField name="Goals" numFmtId="0">
      <sharedItems containsSemiMixedTypes="0" containsString="0" containsNumber="1" containsInteger="1" minValue="2" maxValue="19"/>
    </cacheField>
    <cacheField name="Assists" numFmtId="0">
      <sharedItems containsSemiMixedTypes="0" containsString="0" containsNumber="1" containsInteger="1" minValue="1" maxValue="12"/>
    </cacheField>
    <cacheField name="Yellow Cards" numFmtId="0">
      <sharedItems containsSemiMixedTypes="0" containsString="0" containsNumber="1" containsInteger="1" minValue="1" maxValue="5"/>
    </cacheField>
    <cacheField name="Market Value (€M)" numFmtId="0">
      <sharedItems containsSemiMixedTypes="0" containsString="0" containsNumber="1" containsInteger="1" minValue="15" maxValue="180"/>
    </cacheField>
  </cacheFields>
  <extLst>
    <ext xmlns:x14="http://schemas.microsoft.com/office/spreadsheetml/2009/9/main" uri="{725AE2AE-9491-48be-B2B4-4EB974FC3084}">
      <x14:pivotCacheDefinition pivotCacheId="1878191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P004"/>
    <s v="Erling Haaland"/>
    <x v="0"/>
    <x v="0"/>
    <n v="21"/>
    <n v="19"/>
    <n v="3"/>
    <n v="2"/>
    <n v="170"/>
  </r>
  <r>
    <s v="P011"/>
    <s v="Harry Kane"/>
    <x v="0"/>
    <x v="1"/>
    <n v="20"/>
    <n v="18"/>
    <n v="5"/>
    <n v="1"/>
    <n v="95"/>
  </r>
  <r>
    <s v="P002"/>
    <s v="Cristiano Ronaldo"/>
    <x v="0"/>
    <x v="2"/>
    <n v="20"/>
    <n v="17"/>
    <n v="4"/>
    <n v="2"/>
    <n v="15"/>
  </r>
  <r>
    <s v="P003"/>
    <s v="Kylian Mbappe"/>
    <x v="0"/>
    <x v="3"/>
    <n v="19"/>
    <n v="16"/>
    <n v="7"/>
    <n v="1"/>
    <n v="180"/>
  </r>
  <r>
    <s v="P019"/>
    <s v="Lautaro Martinez"/>
    <x v="0"/>
    <x v="4"/>
    <n v="20"/>
    <n v="16"/>
    <n v="3"/>
    <n v="2"/>
    <n v="100"/>
  </r>
  <r>
    <s v="P001"/>
    <s v="Lionel Messi"/>
    <x v="0"/>
    <x v="5"/>
    <n v="18"/>
    <n v="15"/>
    <n v="9"/>
    <n v="1"/>
    <n v="20"/>
  </r>
  <r>
    <s v="P007"/>
    <s v="Mohamed Salah"/>
    <x v="0"/>
    <x v="6"/>
    <n v="20"/>
    <n v="14"/>
    <n v="8"/>
    <n v="1"/>
    <n v="55"/>
  </r>
  <r>
    <s v="P017"/>
    <s v="Robert Lewandowski"/>
    <x v="0"/>
    <x v="7"/>
    <n v="20"/>
    <n v="13"/>
    <n v="4"/>
    <n v="1"/>
    <n v="25"/>
  </r>
  <r>
    <s v="P013"/>
    <s v="Bukayo Saka"/>
    <x v="0"/>
    <x v="8"/>
    <n v="19"/>
    <n v="11"/>
    <n v="8"/>
    <n v="2"/>
    <n v="140"/>
  </r>
  <r>
    <s v="P015"/>
    <s v="Vinicius Jr"/>
    <x v="0"/>
    <x v="3"/>
    <n v="17"/>
    <n v="10"/>
    <n v="6"/>
    <n v="2"/>
    <n v="170"/>
  </r>
  <r>
    <s v="P012"/>
    <s v="Jamal Musiala"/>
    <x v="1"/>
    <x v="1"/>
    <n v="18"/>
    <n v="9"/>
    <n v="7"/>
    <n v="2"/>
    <n v="130"/>
  </r>
  <r>
    <s v="P006"/>
    <s v="Jude Bellingham"/>
    <x v="1"/>
    <x v="3"/>
    <n v="20"/>
    <n v="8"/>
    <n v="6"/>
    <n v="4"/>
    <n v="160"/>
  </r>
  <r>
    <s v="P008"/>
    <s v="Bruno Fernandes"/>
    <x v="1"/>
    <x v="9"/>
    <n v="21"/>
    <n v="7"/>
    <n v="10"/>
    <n v="5"/>
    <n v="65"/>
  </r>
  <r>
    <s v="P014"/>
    <s v="Martin Odegaard"/>
    <x v="1"/>
    <x v="8"/>
    <n v="20"/>
    <n v="6"/>
    <n v="9"/>
    <n v="3"/>
    <n v="95"/>
  </r>
  <r>
    <s v="P005"/>
    <s v="Kevin De Bruyne"/>
    <x v="1"/>
    <x v="0"/>
    <n v="17"/>
    <n v="5"/>
    <n v="12"/>
    <n v="3"/>
    <n v="70"/>
  </r>
  <r>
    <s v="P016"/>
    <s v="Pedri"/>
    <x v="1"/>
    <x v="7"/>
    <n v="16"/>
    <n v="4"/>
    <n v="8"/>
    <n v="3"/>
    <n v="100"/>
  </r>
  <r>
    <s v="P010"/>
    <s v="Rodri"/>
    <x v="1"/>
    <x v="0"/>
    <n v="21"/>
    <n v="4"/>
    <n v="5"/>
    <n v="4"/>
    <n v="90"/>
  </r>
  <r>
    <s v="P018"/>
    <s v="Declan Rice"/>
    <x v="1"/>
    <x v="8"/>
    <n v="21"/>
    <n v="3"/>
    <n v="4"/>
    <n v="5"/>
    <n v="110"/>
  </r>
  <r>
    <s v="P020"/>
    <s v="Federico Dimarco"/>
    <x v="2"/>
    <x v="4"/>
    <n v="21"/>
    <n v="2"/>
    <n v="7"/>
    <n v="4"/>
    <n v="55"/>
  </r>
  <r>
    <s v="P009"/>
    <s v="Virgil van Dijk"/>
    <x v="2"/>
    <x v="6"/>
    <n v="22"/>
    <n v="2"/>
    <n v="1"/>
    <n v="3"/>
    <n v="3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DE2F7B78-1B8C-43FA-9B54-DC340A1F97DF}" sourceName="Position">
  <data>
    <tabular pivotCacheId="18781911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354AD763-B3A8-4206-B3C5-69DE06C938AD}" sourceName="Team">
  <data>
    <tabular pivotCacheId="1878191157">
      <items count="10">
        <i x="2" s="1"/>
        <i x="8" s="1"/>
        <i x="7" s="1"/>
        <i x="1" s="1"/>
        <i x="4" s="1"/>
        <i x="6" s="1"/>
        <i x="0" s="1"/>
        <i x="9"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1" xr10:uid="{B876FC83-2495-4DAD-B01C-EB55A3A8264C}" cache="Slicer_Position" caption="Position" rowHeight="247650"/>
  <slicer name="Team 1" xr10:uid="{BD533C19-39F0-4974-8F72-4FD224EB8E44}" cache="Slicer_Team" caption="Team"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9DFD-4014-435D-82E0-59D5A4ACB27A}">
  <dimension ref="B1:V24"/>
  <sheetViews>
    <sheetView showGridLines="0" tabSelected="1" workbookViewId="0">
      <selection activeCell="V28" sqref="V28"/>
    </sheetView>
  </sheetViews>
  <sheetFormatPr defaultRowHeight="14.4" x14ac:dyDescent="0.3"/>
  <cols>
    <col min="1" max="1" width="4.109375" customWidth="1"/>
    <col min="4" max="4" width="9.88671875" customWidth="1"/>
    <col min="5" max="5" width="9.21875" customWidth="1"/>
    <col min="6" max="6" width="10.5546875" customWidth="1"/>
    <col min="7" max="7" width="10" customWidth="1"/>
    <col min="8" max="8" width="10.5546875" customWidth="1"/>
    <col min="11" max="11" width="10" customWidth="1"/>
    <col min="14" max="14" width="12" customWidth="1"/>
    <col min="17" max="17" width="11.109375" customWidth="1"/>
  </cols>
  <sheetData>
    <row r="1" spans="2:15" ht="49.2" customHeight="1" thickBot="1" x14ac:dyDescent="0.35">
      <c r="H1" s="6" t="s">
        <v>84</v>
      </c>
      <c r="I1" s="6"/>
      <c r="J1" s="6"/>
      <c r="K1" s="6"/>
      <c r="L1" s="6"/>
      <c r="M1" s="6"/>
      <c r="N1" s="6"/>
      <c r="O1" s="6"/>
    </row>
    <row r="2" spans="2:15" ht="17.399999999999999" customHeight="1" thickTop="1" thickBot="1" x14ac:dyDescent="0.35">
      <c r="B2" s="7" t="s">
        <v>76</v>
      </c>
      <c r="C2" s="9"/>
      <c r="E2" s="7" t="s">
        <v>77</v>
      </c>
      <c r="F2" s="9"/>
      <c r="H2" s="7" t="s">
        <v>78</v>
      </c>
      <c r="I2" s="8"/>
      <c r="J2" s="9"/>
      <c r="L2" s="7" t="s">
        <v>85</v>
      </c>
      <c r="M2" s="8"/>
      <c r="N2" s="9"/>
    </row>
    <row r="3" spans="2:15" ht="15" thickTop="1" x14ac:dyDescent="0.3">
      <c r="B3" s="26">
        <v>199</v>
      </c>
      <c r="C3" s="27"/>
      <c r="E3" s="26">
        <v>126</v>
      </c>
      <c r="F3" s="27"/>
      <c r="H3" s="26">
        <v>325</v>
      </c>
      <c r="I3" s="40"/>
      <c r="J3" s="27"/>
      <c r="L3" s="10" t="s">
        <v>88</v>
      </c>
      <c r="M3" s="11"/>
      <c r="N3" s="12"/>
    </row>
    <row r="4" spans="2:15" ht="15" thickBot="1" x14ac:dyDescent="0.35">
      <c r="B4" s="28"/>
      <c r="C4" s="29"/>
      <c r="E4" s="28"/>
      <c r="F4" s="29"/>
      <c r="H4" s="28"/>
      <c r="I4" s="41"/>
      <c r="J4" s="29"/>
      <c r="L4" s="13"/>
      <c r="M4" s="14"/>
      <c r="N4" s="15"/>
    </row>
    <row r="5" spans="2:15" ht="15" thickTop="1" x14ac:dyDescent="0.3">
      <c r="L5" s="16" t="s">
        <v>89</v>
      </c>
      <c r="M5" s="17"/>
      <c r="N5" s="18"/>
    </row>
    <row r="6" spans="2:15" ht="0.6" customHeight="1" thickBot="1" x14ac:dyDescent="0.35">
      <c r="L6" s="19"/>
      <c r="M6" s="20"/>
      <c r="N6" s="21"/>
    </row>
    <row r="7" spans="2:15" ht="16.8" thickTop="1" thickBot="1" x14ac:dyDescent="0.35">
      <c r="B7" s="7" t="s">
        <v>79</v>
      </c>
      <c r="C7" s="9"/>
      <c r="E7" s="7" t="s">
        <v>80</v>
      </c>
      <c r="F7" s="9"/>
      <c r="H7" s="7" t="s">
        <v>81</v>
      </c>
      <c r="I7" s="8"/>
      <c r="J7" s="9"/>
      <c r="L7" s="13"/>
      <c r="M7" s="14"/>
      <c r="N7" s="15"/>
    </row>
    <row r="8" spans="2:15" ht="15" thickTop="1" x14ac:dyDescent="0.3">
      <c r="B8" s="26">
        <v>20</v>
      </c>
      <c r="C8" s="27"/>
      <c r="E8" s="30" t="s">
        <v>82</v>
      </c>
      <c r="F8" s="31"/>
      <c r="H8" s="34" t="s">
        <v>10</v>
      </c>
      <c r="I8" s="35"/>
      <c r="J8" s="36"/>
      <c r="L8" s="22" t="s">
        <v>90</v>
      </c>
      <c r="M8" s="20"/>
      <c r="N8" s="21"/>
    </row>
    <row r="9" spans="2:15" ht="15" thickBot="1" x14ac:dyDescent="0.35">
      <c r="B9" s="28"/>
      <c r="C9" s="29"/>
      <c r="E9" s="32"/>
      <c r="F9" s="33"/>
      <c r="H9" s="37"/>
      <c r="I9" s="38"/>
      <c r="J9" s="39"/>
      <c r="L9" s="23"/>
      <c r="M9" s="24"/>
      <c r="N9" s="25"/>
    </row>
    <row r="10" spans="2:15" ht="15" thickTop="1" x14ac:dyDescent="0.3"/>
    <row r="22" spans="18:22" ht="18" customHeight="1" x14ac:dyDescent="0.3"/>
    <row r="23" spans="18:22" x14ac:dyDescent="0.3">
      <c r="R23" s="5" t="s">
        <v>86</v>
      </c>
      <c r="S23" s="5"/>
      <c r="T23" s="5"/>
      <c r="U23" s="5"/>
    </row>
    <row r="24" spans="18:22" x14ac:dyDescent="0.3">
      <c r="R24" s="5" t="s">
        <v>87</v>
      </c>
      <c r="S24" s="5"/>
      <c r="T24" s="5"/>
      <c r="U24" s="5"/>
      <c r="V24" s="5"/>
    </row>
  </sheetData>
  <mergeCells count="19">
    <mergeCell ref="B8:C9"/>
    <mergeCell ref="E8:F9"/>
    <mergeCell ref="H8:J9"/>
    <mergeCell ref="E2:F2"/>
    <mergeCell ref="B2:C2"/>
    <mergeCell ref="H2:J2"/>
    <mergeCell ref="E7:F7"/>
    <mergeCell ref="H7:J7"/>
    <mergeCell ref="B7:C7"/>
    <mergeCell ref="B3:C4"/>
    <mergeCell ref="E3:F4"/>
    <mergeCell ref="H3:J4"/>
    <mergeCell ref="R23:U23"/>
    <mergeCell ref="R24:V24"/>
    <mergeCell ref="H1:O1"/>
    <mergeCell ref="L2:N2"/>
    <mergeCell ref="L3:N4"/>
    <mergeCell ref="L5:N7"/>
    <mergeCell ref="L8:N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FF98-32ED-43D4-8029-07796D0BEEAE}">
  <dimension ref="A1:N35"/>
  <sheetViews>
    <sheetView zoomScale="69" workbookViewId="0">
      <selection activeCell="J39" sqref="J38:J39"/>
    </sheetView>
  </sheetViews>
  <sheetFormatPr defaultRowHeight="14.4" x14ac:dyDescent="0.3"/>
  <cols>
    <col min="1" max="1" width="13.77734375" customWidth="1"/>
    <col min="2" max="2" width="13.88671875" customWidth="1"/>
    <col min="3" max="3" width="10.109375" customWidth="1"/>
    <col min="4" max="4" width="11.33203125" customWidth="1"/>
    <col min="10" max="10" width="6.88671875" customWidth="1"/>
    <col min="11" max="12" width="11.21875" customWidth="1"/>
    <col min="13" max="13" width="12.33203125" customWidth="1"/>
    <col min="14" max="14" width="8.88671875" customWidth="1"/>
  </cols>
  <sheetData>
    <row r="1" spans="1:14" ht="43.2" x14ac:dyDescent="0.3">
      <c r="A1" s="1" t="s">
        <v>0</v>
      </c>
      <c r="B1" s="1" t="s">
        <v>1</v>
      </c>
      <c r="C1" s="1" t="s">
        <v>2</v>
      </c>
      <c r="D1" s="1" t="s">
        <v>3</v>
      </c>
      <c r="E1" s="1" t="s">
        <v>4</v>
      </c>
      <c r="F1" s="1" t="s">
        <v>5</v>
      </c>
      <c r="G1" s="1" t="s">
        <v>6</v>
      </c>
      <c r="H1" s="1" t="s">
        <v>7</v>
      </c>
      <c r="I1" s="1" t="s">
        <v>8</v>
      </c>
      <c r="K1" s="1" t="s">
        <v>64</v>
      </c>
      <c r="L1" s="1" t="s">
        <v>65</v>
      </c>
      <c r="M1" s="1" t="s">
        <v>68</v>
      </c>
      <c r="N1" s="1"/>
    </row>
    <row r="2" spans="1:14" ht="28.8" x14ac:dyDescent="0.3">
      <c r="A2" s="2" t="s">
        <v>19</v>
      </c>
      <c r="B2" s="2" t="s">
        <v>20</v>
      </c>
      <c r="C2" s="2" t="s">
        <v>11</v>
      </c>
      <c r="D2" s="2" t="s">
        <v>21</v>
      </c>
      <c r="E2" s="2">
        <v>21</v>
      </c>
      <c r="F2" s="2">
        <v>19</v>
      </c>
      <c r="G2" s="2">
        <v>3</v>
      </c>
      <c r="H2" s="2">
        <v>2</v>
      </c>
      <c r="I2" s="2">
        <v>170</v>
      </c>
      <c r="K2">
        <f>F2+G2</f>
        <v>22</v>
      </c>
      <c r="L2" s="3">
        <f>F2/E2</f>
        <v>0.90476190476190477</v>
      </c>
      <c r="M2" t="str">
        <f>IF(F2&gt;=18,"Elite",IF(F2&gt;=12,"Good","Average"))</f>
        <v>Elite</v>
      </c>
    </row>
    <row r="3" spans="1:14" ht="28.8" x14ac:dyDescent="0.3">
      <c r="A3" s="2" t="s">
        <v>38</v>
      </c>
      <c r="B3" s="2" t="s">
        <v>39</v>
      </c>
      <c r="C3" s="2" t="s">
        <v>11</v>
      </c>
      <c r="D3" s="2" t="s">
        <v>40</v>
      </c>
      <c r="E3" s="2">
        <v>20</v>
      </c>
      <c r="F3" s="2">
        <v>18</v>
      </c>
      <c r="G3" s="2">
        <v>5</v>
      </c>
      <c r="H3" s="2">
        <v>1</v>
      </c>
      <c r="I3" s="2">
        <v>95</v>
      </c>
      <c r="K3">
        <f>F3+G3</f>
        <v>23</v>
      </c>
      <c r="L3" s="3">
        <f t="shared" ref="L3:L21" si="0">F3/E3</f>
        <v>0.9</v>
      </c>
      <c r="M3" t="str">
        <f t="shared" ref="M3:M21" si="1">IF(F3&gt;=18,"Elite",IF(F3&gt;=12,"Good","Average"))</f>
        <v>Elite</v>
      </c>
    </row>
    <row r="4" spans="1:14" ht="28.8" x14ac:dyDescent="0.3">
      <c r="A4" s="2" t="s">
        <v>13</v>
      </c>
      <c r="B4" s="2" t="s">
        <v>14</v>
      </c>
      <c r="C4" s="2" t="s">
        <v>11</v>
      </c>
      <c r="D4" s="2" t="s">
        <v>15</v>
      </c>
      <c r="E4" s="2">
        <v>20</v>
      </c>
      <c r="F4" s="2">
        <v>17</v>
      </c>
      <c r="G4" s="2">
        <v>4</v>
      </c>
      <c r="H4" s="2">
        <v>2</v>
      </c>
      <c r="I4" s="2">
        <v>15</v>
      </c>
      <c r="K4">
        <f t="shared" ref="K4:K21" si="2">F4+G4</f>
        <v>21</v>
      </c>
      <c r="L4" s="3">
        <f t="shared" si="0"/>
        <v>0.85</v>
      </c>
      <c r="M4" t="str">
        <f t="shared" si="1"/>
        <v>Good</v>
      </c>
    </row>
    <row r="5" spans="1:14" ht="28.8" x14ac:dyDescent="0.3">
      <c r="A5" s="2" t="s">
        <v>16</v>
      </c>
      <c r="B5" s="2" t="s">
        <v>17</v>
      </c>
      <c r="C5" s="2" t="s">
        <v>11</v>
      </c>
      <c r="D5" s="2" t="s">
        <v>18</v>
      </c>
      <c r="E5" s="2">
        <v>19</v>
      </c>
      <c r="F5" s="2">
        <v>16</v>
      </c>
      <c r="G5" s="2">
        <v>7</v>
      </c>
      <c r="H5" s="2">
        <v>1</v>
      </c>
      <c r="I5" s="2">
        <v>180</v>
      </c>
      <c r="K5">
        <f t="shared" si="2"/>
        <v>23</v>
      </c>
      <c r="L5" s="3">
        <f t="shared" si="0"/>
        <v>0.84210526315789469</v>
      </c>
      <c r="M5" t="str">
        <f t="shared" si="1"/>
        <v>Good</v>
      </c>
    </row>
    <row r="6" spans="1:14" ht="28.8" x14ac:dyDescent="0.3">
      <c r="A6" s="2" t="s">
        <v>57</v>
      </c>
      <c r="B6" s="2" t="s">
        <v>58</v>
      </c>
      <c r="C6" s="2" t="s">
        <v>11</v>
      </c>
      <c r="D6" s="2" t="s">
        <v>59</v>
      </c>
      <c r="E6" s="2">
        <v>20</v>
      </c>
      <c r="F6" s="2">
        <v>16</v>
      </c>
      <c r="G6" s="2">
        <v>3</v>
      </c>
      <c r="H6" s="2">
        <v>2</v>
      </c>
      <c r="I6" s="2">
        <v>100</v>
      </c>
      <c r="K6">
        <f t="shared" si="2"/>
        <v>19</v>
      </c>
      <c r="L6" s="3">
        <f t="shared" si="0"/>
        <v>0.8</v>
      </c>
      <c r="M6" t="str">
        <f t="shared" si="1"/>
        <v>Good</v>
      </c>
    </row>
    <row r="7" spans="1:14" ht="28.8" x14ac:dyDescent="0.3">
      <c r="A7" s="2" t="s">
        <v>9</v>
      </c>
      <c r="B7" s="2" t="s">
        <v>10</v>
      </c>
      <c r="C7" s="2" t="s">
        <v>11</v>
      </c>
      <c r="D7" s="2" t="s">
        <v>12</v>
      </c>
      <c r="E7" s="2">
        <v>18</v>
      </c>
      <c r="F7" s="2">
        <v>15</v>
      </c>
      <c r="G7" s="2">
        <v>9</v>
      </c>
      <c r="H7" s="2">
        <v>1</v>
      </c>
      <c r="I7" s="2">
        <v>20</v>
      </c>
      <c r="K7">
        <f t="shared" si="2"/>
        <v>24</v>
      </c>
      <c r="L7" s="3">
        <f t="shared" si="0"/>
        <v>0.83333333333333337</v>
      </c>
      <c r="M7" t="str">
        <f t="shared" si="1"/>
        <v>Good</v>
      </c>
    </row>
    <row r="8" spans="1:14" x14ac:dyDescent="0.3">
      <c r="A8" s="2" t="s">
        <v>27</v>
      </c>
      <c r="B8" s="2" t="s">
        <v>28</v>
      </c>
      <c r="C8" s="2" t="s">
        <v>11</v>
      </c>
      <c r="D8" s="2" t="s">
        <v>29</v>
      </c>
      <c r="E8" s="2">
        <v>20</v>
      </c>
      <c r="F8" s="2">
        <v>14</v>
      </c>
      <c r="G8" s="2">
        <v>8</v>
      </c>
      <c r="H8" s="2">
        <v>1</v>
      </c>
      <c r="I8" s="2">
        <v>55</v>
      </c>
      <c r="K8">
        <f t="shared" si="2"/>
        <v>22</v>
      </c>
      <c r="L8" s="3">
        <f t="shared" si="0"/>
        <v>0.7</v>
      </c>
      <c r="M8" t="str">
        <f t="shared" si="1"/>
        <v>Good</v>
      </c>
    </row>
    <row r="9" spans="1:14" ht="43.2" x14ac:dyDescent="0.3">
      <c r="A9" s="2" t="s">
        <v>53</v>
      </c>
      <c r="B9" s="2" t="s">
        <v>54</v>
      </c>
      <c r="C9" s="2" t="s">
        <v>11</v>
      </c>
      <c r="D9" s="2" t="s">
        <v>52</v>
      </c>
      <c r="E9" s="2">
        <v>20</v>
      </c>
      <c r="F9" s="2">
        <v>13</v>
      </c>
      <c r="G9" s="2">
        <v>4</v>
      </c>
      <c r="H9" s="2">
        <v>1</v>
      </c>
      <c r="I9" s="2">
        <v>25</v>
      </c>
      <c r="K9">
        <f t="shared" si="2"/>
        <v>17</v>
      </c>
      <c r="L9" s="3">
        <f t="shared" si="0"/>
        <v>0.65</v>
      </c>
      <c r="M9" t="str">
        <f t="shared" si="1"/>
        <v>Good</v>
      </c>
    </row>
    <row r="10" spans="1:14" ht="28.8" x14ac:dyDescent="0.3">
      <c r="A10" s="2" t="s">
        <v>43</v>
      </c>
      <c r="B10" s="2" t="s">
        <v>44</v>
      </c>
      <c r="C10" s="2" t="s">
        <v>11</v>
      </c>
      <c r="D10" s="2" t="s">
        <v>45</v>
      </c>
      <c r="E10" s="2">
        <v>19</v>
      </c>
      <c r="F10" s="2">
        <v>11</v>
      </c>
      <c r="G10" s="2">
        <v>8</v>
      </c>
      <c r="H10" s="2">
        <v>2</v>
      </c>
      <c r="I10" s="2">
        <v>140</v>
      </c>
      <c r="K10">
        <f t="shared" si="2"/>
        <v>19</v>
      </c>
      <c r="L10" s="3">
        <f t="shared" si="0"/>
        <v>0.57894736842105265</v>
      </c>
      <c r="M10" t="str">
        <f t="shared" si="1"/>
        <v>Average</v>
      </c>
    </row>
    <row r="11" spans="1:14" ht="28.8" x14ac:dyDescent="0.3">
      <c r="A11" s="2" t="s">
        <v>48</v>
      </c>
      <c r="B11" s="2" t="s">
        <v>49</v>
      </c>
      <c r="C11" s="2" t="s">
        <v>11</v>
      </c>
      <c r="D11" s="2" t="s">
        <v>18</v>
      </c>
      <c r="E11" s="2">
        <v>17</v>
      </c>
      <c r="F11" s="2">
        <v>10</v>
      </c>
      <c r="G11" s="2">
        <v>6</v>
      </c>
      <c r="H11" s="2">
        <v>2</v>
      </c>
      <c r="I11" s="2">
        <v>170</v>
      </c>
      <c r="K11">
        <f t="shared" si="2"/>
        <v>16</v>
      </c>
      <c r="L11" s="3">
        <f t="shared" si="0"/>
        <v>0.58823529411764708</v>
      </c>
      <c r="M11" t="str">
        <f t="shared" si="1"/>
        <v>Average</v>
      </c>
    </row>
    <row r="12" spans="1:14" ht="28.8" x14ac:dyDescent="0.3">
      <c r="A12" s="2" t="s">
        <v>41</v>
      </c>
      <c r="B12" s="2" t="s">
        <v>42</v>
      </c>
      <c r="C12" s="2" t="s">
        <v>24</v>
      </c>
      <c r="D12" s="2" t="s">
        <v>40</v>
      </c>
      <c r="E12" s="2">
        <v>18</v>
      </c>
      <c r="F12" s="2">
        <v>9</v>
      </c>
      <c r="G12" s="2">
        <v>7</v>
      </c>
      <c r="H12" s="2">
        <v>2</v>
      </c>
      <c r="I12" s="2">
        <v>130</v>
      </c>
      <c r="K12">
        <f t="shared" si="2"/>
        <v>16</v>
      </c>
      <c r="L12" s="3">
        <f t="shared" si="0"/>
        <v>0.5</v>
      </c>
      <c r="M12" t="str">
        <f t="shared" si="1"/>
        <v>Average</v>
      </c>
    </row>
    <row r="13" spans="1:14" ht="43.2" x14ac:dyDescent="0.3">
      <c r="A13" s="2" t="s">
        <v>25</v>
      </c>
      <c r="B13" s="2" t="s">
        <v>26</v>
      </c>
      <c r="C13" s="2" t="s">
        <v>24</v>
      </c>
      <c r="D13" s="2" t="s">
        <v>18</v>
      </c>
      <c r="E13" s="2">
        <v>20</v>
      </c>
      <c r="F13" s="2">
        <v>8</v>
      </c>
      <c r="G13" s="2">
        <v>6</v>
      </c>
      <c r="H13" s="2">
        <v>4</v>
      </c>
      <c r="I13" s="2">
        <v>160</v>
      </c>
      <c r="K13">
        <f t="shared" si="2"/>
        <v>14</v>
      </c>
      <c r="L13" s="3">
        <f t="shared" si="0"/>
        <v>0.4</v>
      </c>
      <c r="M13" t="str">
        <f t="shared" si="1"/>
        <v>Average</v>
      </c>
    </row>
    <row r="14" spans="1:14" ht="43.2" x14ac:dyDescent="0.3">
      <c r="A14" s="2" t="s">
        <v>30</v>
      </c>
      <c r="B14" s="2" t="s">
        <v>31</v>
      </c>
      <c r="C14" s="2" t="s">
        <v>24</v>
      </c>
      <c r="D14" s="2" t="s">
        <v>32</v>
      </c>
      <c r="E14" s="2">
        <v>21</v>
      </c>
      <c r="F14" s="2">
        <v>7</v>
      </c>
      <c r="G14" s="2">
        <v>10</v>
      </c>
      <c r="H14" s="2">
        <v>5</v>
      </c>
      <c r="I14" s="2">
        <v>65</v>
      </c>
      <c r="K14">
        <f t="shared" si="2"/>
        <v>17</v>
      </c>
      <c r="L14" s="3">
        <f t="shared" si="0"/>
        <v>0.33333333333333331</v>
      </c>
      <c r="M14" t="str">
        <f t="shared" si="1"/>
        <v>Average</v>
      </c>
    </row>
    <row r="15" spans="1:14" ht="28.8" x14ac:dyDescent="0.3">
      <c r="A15" s="2" t="s">
        <v>46</v>
      </c>
      <c r="B15" s="2" t="s">
        <v>47</v>
      </c>
      <c r="C15" s="2" t="s">
        <v>24</v>
      </c>
      <c r="D15" s="2" t="s">
        <v>45</v>
      </c>
      <c r="E15" s="2">
        <v>20</v>
      </c>
      <c r="F15" s="2">
        <v>6</v>
      </c>
      <c r="G15" s="2">
        <v>9</v>
      </c>
      <c r="H15" s="2">
        <v>3</v>
      </c>
      <c r="I15" s="2">
        <v>95</v>
      </c>
      <c r="K15">
        <f t="shared" si="2"/>
        <v>15</v>
      </c>
      <c r="L15" s="3">
        <f t="shared" si="0"/>
        <v>0.3</v>
      </c>
      <c r="M15" t="str">
        <f t="shared" si="1"/>
        <v>Average</v>
      </c>
    </row>
    <row r="16" spans="1:14" ht="28.8" x14ac:dyDescent="0.3">
      <c r="A16" s="2" t="s">
        <v>22</v>
      </c>
      <c r="B16" s="2" t="s">
        <v>23</v>
      </c>
      <c r="C16" s="2" t="s">
        <v>24</v>
      </c>
      <c r="D16" s="2" t="s">
        <v>21</v>
      </c>
      <c r="E16" s="2">
        <v>17</v>
      </c>
      <c r="F16" s="2">
        <v>5</v>
      </c>
      <c r="G16" s="2">
        <v>12</v>
      </c>
      <c r="H16" s="2">
        <v>3</v>
      </c>
      <c r="I16" s="2">
        <v>70</v>
      </c>
      <c r="K16">
        <f t="shared" si="2"/>
        <v>17</v>
      </c>
      <c r="L16" s="3">
        <f t="shared" si="0"/>
        <v>0.29411764705882354</v>
      </c>
      <c r="M16" t="str">
        <f t="shared" si="1"/>
        <v>Average</v>
      </c>
    </row>
    <row r="17" spans="1:13" x14ac:dyDescent="0.3">
      <c r="A17" s="2" t="s">
        <v>50</v>
      </c>
      <c r="B17" s="2" t="s">
        <v>51</v>
      </c>
      <c r="C17" s="2" t="s">
        <v>24</v>
      </c>
      <c r="D17" s="2" t="s">
        <v>52</v>
      </c>
      <c r="E17" s="2">
        <v>16</v>
      </c>
      <c r="F17" s="2">
        <v>4</v>
      </c>
      <c r="G17" s="2">
        <v>8</v>
      </c>
      <c r="H17" s="2">
        <v>3</v>
      </c>
      <c r="I17" s="2">
        <v>100</v>
      </c>
      <c r="K17">
        <f t="shared" si="2"/>
        <v>12</v>
      </c>
      <c r="L17" s="3">
        <f t="shared" si="0"/>
        <v>0.25</v>
      </c>
      <c r="M17" t="str">
        <f t="shared" si="1"/>
        <v>Average</v>
      </c>
    </row>
    <row r="18" spans="1:13" ht="28.8" x14ac:dyDescent="0.3">
      <c r="A18" s="2" t="s">
        <v>36</v>
      </c>
      <c r="B18" s="2" t="s">
        <v>37</v>
      </c>
      <c r="C18" s="2" t="s">
        <v>24</v>
      </c>
      <c r="D18" s="2" t="s">
        <v>21</v>
      </c>
      <c r="E18" s="2">
        <v>21</v>
      </c>
      <c r="F18" s="2">
        <v>4</v>
      </c>
      <c r="G18" s="2">
        <v>5</v>
      </c>
      <c r="H18" s="2">
        <v>4</v>
      </c>
      <c r="I18" s="2">
        <v>90</v>
      </c>
      <c r="K18">
        <f t="shared" si="2"/>
        <v>9</v>
      </c>
      <c r="L18" s="3">
        <f t="shared" si="0"/>
        <v>0.19047619047619047</v>
      </c>
      <c r="M18" t="str">
        <f t="shared" si="1"/>
        <v>Average</v>
      </c>
    </row>
    <row r="19" spans="1:13" x14ac:dyDescent="0.3">
      <c r="A19" s="2" t="s">
        <v>55</v>
      </c>
      <c r="B19" s="2" t="s">
        <v>56</v>
      </c>
      <c r="C19" s="2" t="s">
        <v>24</v>
      </c>
      <c r="D19" s="2" t="s">
        <v>45</v>
      </c>
      <c r="E19" s="2">
        <v>21</v>
      </c>
      <c r="F19" s="2">
        <v>3</v>
      </c>
      <c r="G19" s="2">
        <v>4</v>
      </c>
      <c r="H19" s="2">
        <v>5</v>
      </c>
      <c r="I19" s="2">
        <v>110</v>
      </c>
      <c r="K19">
        <f t="shared" si="2"/>
        <v>7</v>
      </c>
      <c r="L19" s="3">
        <f t="shared" si="0"/>
        <v>0.14285714285714285</v>
      </c>
      <c r="M19" t="str">
        <f t="shared" si="1"/>
        <v>Average</v>
      </c>
    </row>
    <row r="20" spans="1:13" ht="28.8" x14ac:dyDescent="0.3">
      <c r="A20" s="2" t="s">
        <v>60</v>
      </c>
      <c r="B20" s="2" t="s">
        <v>61</v>
      </c>
      <c r="C20" s="2" t="s">
        <v>35</v>
      </c>
      <c r="D20" s="2" t="s">
        <v>59</v>
      </c>
      <c r="E20" s="2">
        <v>21</v>
      </c>
      <c r="F20" s="2">
        <v>2</v>
      </c>
      <c r="G20" s="2">
        <v>7</v>
      </c>
      <c r="H20" s="2">
        <v>4</v>
      </c>
      <c r="I20" s="2">
        <v>55</v>
      </c>
      <c r="K20">
        <f t="shared" si="2"/>
        <v>9</v>
      </c>
      <c r="L20" s="3">
        <f t="shared" si="0"/>
        <v>9.5238095238095233E-2</v>
      </c>
      <c r="M20" t="str">
        <f t="shared" si="1"/>
        <v>Average</v>
      </c>
    </row>
    <row r="21" spans="1:13" x14ac:dyDescent="0.3">
      <c r="A21" s="2" t="s">
        <v>33</v>
      </c>
      <c r="B21" s="2" t="s">
        <v>34</v>
      </c>
      <c r="C21" s="2" t="s">
        <v>35</v>
      </c>
      <c r="D21" s="2" t="s">
        <v>29</v>
      </c>
      <c r="E21" s="2">
        <v>22</v>
      </c>
      <c r="F21" s="2">
        <v>2</v>
      </c>
      <c r="G21" s="2">
        <v>1</v>
      </c>
      <c r="H21" s="2">
        <v>3</v>
      </c>
      <c r="I21" s="2">
        <v>30</v>
      </c>
      <c r="K21">
        <f t="shared" si="2"/>
        <v>3</v>
      </c>
      <c r="L21" s="3">
        <f t="shared" si="0"/>
        <v>9.0909090909090912E-2</v>
      </c>
      <c r="M21" t="str">
        <f t="shared" si="1"/>
        <v>Average</v>
      </c>
    </row>
    <row r="23" spans="1:13" x14ac:dyDescent="0.3">
      <c r="A23" s="4" t="s">
        <v>62</v>
      </c>
      <c r="E23">
        <f>SUM(E2:E21)</f>
        <v>391</v>
      </c>
      <c r="F23">
        <f>SUM(F2:F21)</f>
        <v>199</v>
      </c>
      <c r="G23">
        <f>SUM(G2:G21)</f>
        <v>126</v>
      </c>
      <c r="H23">
        <f>SUM(H2:H21)</f>
        <v>51</v>
      </c>
      <c r="I23">
        <f>SUM(I2:I21)</f>
        <v>1875</v>
      </c>
      <c r="K23">
        <f>SUM(K2:K21)</f>
        <v>325</v>
      </c>
    </row>
    <row r="24" spans="1:13" ht="20.399999999999999" customHeight="1" x14ac:dyDescent="0.3">
      <c r="A24" s="4" t="s">
        <v>63</v>
      </c>
      <c r="F24">
        <f>AVERAGE(F2:F21)</f>
        <v>9.9499999999999993</v>
      </c>
      <c r="G24">
        <f>AVERAGE(G2:G21)</f>
        <v>6.3</v>
      </c>
      <c r="I24">
        <f>AVERAGE(I2:I21)</f>
        <v>93.75</v>
      </c>
    </row>
    <row r="25" spans="1:13" ht="25.2" customHeight="1" x14ac:dyDescent="0.3">
      <c r="A25" s="4" t="s">
        <v>66</v>
      </c>
      <c r="B25" t="str">
        <f>_xlfn.XLOOKUP(MAX(F2:F21),F2:F21,B2:B21)</f>
        <v>Erling Haaland</v>
      </c>
      <c r="F25">
        <f>MAX(F2:F21)</f>
        <v>19</v>
      </c>
    </row>
    <row r="26" spans="1:13" x14ac:dyDescent="0.3">
      <c r="A26" s="4" t="s">
        <v>67</v>
      </c>
      <c r="F26">
        <f>MIN(F2:F21)</f>
        <v>2</v>
      </c>
    </row>
    <row r="27" spans="1:13" ht="28.8" x14ac:dyDescent="0.3">
      <c r="A27" s="4" t="s">
        <v>83</v>
      </c>
      <c r="B27" t="str">
        <f>_xlfn.XLOOKUP(MAX(K2:K21),K2:K21,B2:B21)</f>
        <v>Lionel Messi</v>
      </c>
      <c r="K27">
        <f>MAX(K2:K21)</f>
        <v>24</v>
      </c>
    </row>
    <row r="28" spans="1:13" ht="25.8" customHeight="1" x14ac:dyDescent="0.3">
      <c r="A28" s="4" t="s">
        <v>69</v>
      </c>
      <c r="F28">
        <f>SUMIF(C2:C21,"Forward",F2:F21)</f>
        <v>149</v>
      </c>
    </row>
    <row r="29" spans="1:13" ht="26.4" customHeight="1" x14ac:dyDescent="0.3">
      <c r="A29" s="4" t="s">
        <v>70</v>
      </c>
      <c r="F29">
        <f>SUMIF(C2:C21,"Midfielder",F2:F21)</f>
        <v>46</v>
      </c>
    </row>
    <row r="30" spans="1:13" ht="27.6" customHeight="1" x14ac:dyDescent="0.3">
      <c r="A30" s="4" t="s">
        <v>71</v>
      </c>
      <c r="F30">
        <f>SUMIF(D2:D21,"Real Madrid",F2:F21)</f>
        <v>34</v>
      </c>
    </row>
    <row r="31" spans="1:13" ht="28.8" x14ac:dyDescent="0.3">
      <c r="A31" s="4" t="s">
        <v>72</v>
      </c>
      <c r="F31">
        <f>SUMIFS(F2:F21,C2:C21,"Forward",D2:D21,"Real Madrid")</f>
        <v>26</v>
      </c>
    </row>
    <row r="32" spans="1:13" x14ac:dyDescent="0.3">
      <c r="A32" s="4" t="s">
        <v>73</v>
      </c>
      <c r="F32">
        <f>COUNTIF(C2:C21,"Forward")</f>
        <v>10</v>
      </c>
    </row>
    <row r="33" spans="1:6" x14ac:dyDescent="0.3">
      <c r="A33" s="4" t="s">
        <v>75</v>
      </c>
      <c r="F33">
        <f>COUNTIF(C2:C21,"Midfielder")</f>
        <v>8</v>
      </c>
    </row>
    <row r="34" spans="1:6" ht="28.8" x14ac:dyDescent="0.3">
      <c r="A34" s="4" t="s">
        <v>74</v>
      </c>
      <c r="F34">
        <f>COUNTIF(F2:F21,"&gt;10")</f>
        <v>9</v>
      </c>
    </row>
    <row r="35" spans="1:6" ht="28.8" x14ac:dyDescent="0.3">
      <c r="A35" s="4" t="s">
        <v>91</v>
      </c>
      <c r="F35">
        <f>COUNTIFS(C2:C21,"Forward",F2:F21,"&gt;15")</f>
        <v>5</v>
      </c>
    </row>
  </sheetData>
  <sortState xmlns:xlrd2="http://schemas.microsoft.com/office/spreadsheetml/2017/richdata2" ref="A2:I21">
    <sortCondition descending="1" ref="F2:F21"/>
    <sortCondition descending="1" ref="G2:G2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Main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Fathih</dc:creator>
  <cp:lastModifiedBy>Mohammed Fathih</cp:lastModifiedBy>
  <dcterms:created xsi:type="dcterms:W3CDTF">2026-06-11T05:46:26Z</dcterms:created>
  <dcterms:modified xsi:type="dcterms:W3CDTF">2026-07-26T06:13:37Z</dcterms:modified>
</cp:coreProperties>
</file>